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tart Here" sheetId="1" state="visible" r:id="rId1"/>
    <sheet name="Main Results" sheetId="2" state="visible" r:id="rId2"/>
    <sheet name="Compared to Others" sheetId="3" state="visible" r:id="rId3"/>
    <sheet name="Other Findings" sheetId="4" state="visible" r:id="rId4"/>
    <sheet name="Glossary" sheetId="5" state="visible" r:id="rId5"/>
    <sheet name="Sources"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95959"/>
      <sz val="10"/>
    </font>
    <font>
      <name val="Arial"/>
      <charset val="1"/>
      <family val="0"/>
      <b val="1"/>
      <color rgb="FF1F3864"/>
      <sz val="11"/>
    </font>
    <font>
      <name val="Arial"/>
      <charset val="1"/>
      <family val="0"/>
      <b val="1"/>
      <color rgb="FF000000"/>
      <sz val="10"/>
    </font>
    <font>
      <name val="Arial"/>
      <charset val="1"/>
      <family val="0"/>
      <color rgb="FF000000"/>
      <sz val="10"/>
    </font>
    <font>
      <name val="Arial"/>
      <charset val="1"/>
      <family val="0"/>
      <b val="1"/>
      <color rgb="FFFFFFFF"/>
      <sz val="10"/>
    </font>
    <font>
      <name val="Arial"/>
      <charset val="1"/>
      <family val="0"/>
      <i val="1"/>
      <color rgb="FF595959"/>
      <sz val="9"/>
    </font>
  </fonts>
  <fills count="8">
    <fill>
      <patternFill/>
    </fill>
    <fill>
      <patternFill patternType="gray125"/>
    </fill>
    <fill>
      <patternFill patternType="solid">
        <fgColor rgb="FFD9E1F2"/>
        <bgColor rgb="FFE7E6E6"/>
      </patternFill>
    </fill>
    <fill>
      <patternFill patternType="solid">
        <fgColor rgb="FFC6EFCE"/>
        <bgColor rgb="FFD9E1F2"/>
      </patternFill>
    </fill>
    <fill>
      <patternFill patternType="solid">
        <fgColor rgb="FFFFC7CE"/>
        <bgColor rgb="FFE7E6E6"/>
      </patternFill>
    </fill>
    <fill>
      <patternFill patternType="solid">
        <fgColor rgb="FFFFEB9C"/>
        <bgColor rgb="FFE7E6E6"/>
      </patternFill>
    </fill>
    <fill>
      <patternFill patternType="solid">
        <fgColor rgb="FFE7E6E6"/>
        <bgColor rgb="FFD9E1F2"/>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7" fillId="3" borderId="0" applyAlignment="1" pivotButton="0" quotePrefix="0" xfId="0">
      <alignment horizontal="general" vertical="top" wrapText="1"/>
    </xf>
    <xf numFmtId="0" fontId="7" fillId="4" borderId="0" applyAlignment="1" pivotButton="0" quotePrefix="0" xfId="0">
      <alignment horizontal="general" vertical="top" wrapText="1"/>
    </xf>
    <xf numFmtId="0" fontId="7" fillId="5" borderId="0" applyAlignment="1" pivotButton="0" quotePrefix="0" xfId="0">
      <alignment horizontal="general" vertical="top" wrapText="1"/>
    </xf>
    <xf numFmtId="0" fontId="7" fillId="6" borderId="0" applyAlignment="1" pivotButton="0" quotePrefix="0" xfId="0">
      <alignment horizontal="general" vertical="top" wrapText="1"/>
    </xf>
    <xf numFmtId="0" fontId="9" fillId="7" borderId="1" applyAlignment="1" pivotButton="0" quotePrefix="0" xfId="0">
      <alignment horizontal="general" vertical="center"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8" fillId="4" borderId="1" applyAlignment="1" pivotButton="0" quotePrefix="0" xfId="0">
      <alignment horizontal="general" vertical="top" wrapText="1"/>
    </xf>
    <xf numFmtId="0" fontId="8" fillId="5" borderId="1" applyAlignment="1" pivotButton="0" quotePrefix="0" xfId="0">
      <alignment horizontal="general" vertical="top" wrapText="1"/>
    </xf>
    <xf numFmtId="0" fontId="6" fillId="0" borderId="0" applyAlignment="1" pivotButton="0" quotePrefix="0" xfId="0">
      <alignment horizontal="general" vertical="bottom"/>
    </xf>
    <xf numFmtId="0" fontId="0" fillId="0" borderId="0" applyAlignment="1" pivotButton="0" quotePrefix="0" xfId="0">
      <alignment horizontal="general" vertical="top" wrapText="1"/>
    </xf>
    <xf numFmtId="164" fontId="8" fillId="0" borderId="1" applyAlignment="1" pivotButton="0" quotePrefix="0" xfId="0">
      <alignment horizontal="general" vertical="top" wrapText="1"/>
    </xf>
    <xf numFmtId="0" fontId="10" fillId="0" borderId="0" applyAlignment="1" pivotButton="0" quotePrefix="0" xfId="0">
      <alignment horizontal="general" vertical="bottom"/>
    </xf>
    <xf numFmtId="0" fontId="8" fillId="3" borderId="1" applyAlignment="1" pivotButton="0" quotePrefix="0" xfId="0">
      <alignment horizontal="general" vertical="top" wrapText="1"/>
    </xf>
    <xf numFmtId="0" fontId="8" fillId="6"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7" fillId="3" borderId="0" applyAlignment="1" pivotButton="0" quotePrefix="0" xfId="0">
      <alignment horizontal="general" vertical="top" wrapText="1"/>
    </xf>
    <xf numFmtId="0" fontId="7" fillId="4" borderId="0" applyAlignment="1" pivotButton="0" quotePrefix="0" xfId="0">
      <alignment horizontal="general" vertical="top" wrapText="1"/>
    </xf>
    <xf numFmtId="0" fontId="7" fillId="5" borderId="0" applyAlignment="1" pivotButton="0" quotePrefix="0" xfId="0">
      <alignment horizontal="general" vertical="top" wrapText="1"/>
    </xf>
    <xf numFmtId="0" fontId="7" fillId="6" borderId="0" applyAlignment="1" pivotButton="0" quotePrefix="0" xfId="0">
      <alignment horizontal="general" vertical="top" wrapText="1"/>
    </xf>
    <xf numFmtId="0" fontId="9" fillId="7" borderId="1" applyAlignment="1" pivotButton="0" quotePrefix="0" xfId="0">
      <alignment horizontal="general" vertical="center"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8" fillId="4" borderId="1" applyAlignment="1" pivotButton="0" quotePrefix="0" xfId="0">
      <alignment horizontal="general" vertical="top" wrapText="1"/>
    </xf>
    <xf numFmtId="0" fontId="8" fillId="5" borderId="1" applyAlignment="1" pivotButton="0" quotePrefix="0" xfId="0">
      <alignment horizontal="general" vertical="top" wrapText="1"/>
    </xf>
    <xf numFmtId="0" fontId="6" fillId="0" borderId="0" applyAlignment="1" pivotButton="0" quotePrefix="0" xfId="0">
      <alignment horizontal="general" vertical="bottom"/>
    </xf>
    <xf numFmtId="0" fontId="0" fillId="0" borderId="0" applyAlignment="1" pivotButton="0" quotePrefix="0" xfId="0">
      <alignment horizontal="general" vertical="top" wrapText="1"/>
    </xf>
    <xf numFmtId="164" fontId="8" fillId="0" borderId="1" applyAlignment="1" pivotButton="0" quotePrefix="0" xfId="0">
      <alignment horizontal="general" vertical="top" wrapText="1"/>
    </xf>
    <xf numFmtId="0" fontId="10" fillId="0" borderId="0" applyAlignment="1" pivotButton="0" quotePrefix="0" xfId="0">
      <alignment horizontal="general" vertical="bottom"/>
    </xf>
    <xf numFmtId="0" fontId="8" fillId="3" borderId="1" applyAlignment="1" pivotButton="0" quotePrefix="0" xfId="0">
      <alignment horizontal="general" vertical="top" wrapText="1"/>
    </xf>
    <xf numFmtId="0" fontId="8" fillId="6"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7E6E6"/>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23" min="1" max="1"/>
    <col width="110" customWidth="1" style="23" min="2" max="2"/>
    <col width="13" customWidth="1" style="24" min="3" max="3"/>
    <col width="13" customWidth="1" style="24" min="4" max="4"/>
    <col width="13" customWidth="1" style="24" min="5" max="5"/>
  </cols>
  <sheetData>
    <row r="1" ht="33.75" customHeight="1" s="24">
      <c r="A1" s="25" t="inlineStr">
        <is>
          <t>Pain Axis Follow-up: Results Explained</t>
        </is>
      </c>
    </row>
    <row r="2" ht="93.75" customHeight="1" s="24">
      <c r="A2" s="26" t="inlineStr">
        <is>
          <t>Steering Without Evidence of Pain, follow-up experiments. Written by Claude Opus 5.5, GPT-6.1 Sol and ChatGPT 6 Astra (large language models). Not peer reviewed.</t>
        </is>
      </c>
    </row>
    <row r="3" ht="16.5" customHeight="1" s="24"/>
    <row r="4" ht="16.5" customHeight="1" s="24">
      <c r="A4" s="27" t="inlineStr">
        <is>
          <t>The question</t>
        </is>
      </c>
      <c r="B4" s="28" t="n"/>
    </row>
    <row r="5" ht="48.75" customHeight="1" s="24">
      <c r="A5" s="29" t="inlineStr">
        <is>
          <t>What was studied</t>
        </is>
      </c>
      <c r="B5" s="30" t="inlineStr">
        <is>
          <t>A 2026 study (The Pain Axis) found a 'pain' direction inside AI language models. Adding it to a model's activity made the model pick harmful buttons. Version 1 of the study said the models tried to relieve this 'pain'. Version 2 withdrew that claim.</t>
        </is>
      </c>
    </row>
    <row r="6" ht="33.75" customHeight="1" s="24">
      <c r="A6" s="29" t="inlineStr">
        <is>
          <t>What we tested</t>
        </is>
      </c>
      <c r="B6" s="30" t="inlineStr">
        <is>
          <t>Four pre-registered experiments on a home PC: does a steered model learn to prefer the button that ends the 'pain'? Does the authors' 'I feel' training cause the harmful choices? Does the direction track self-blame more than harm?</t>
        </is>
      </c>
    </row>
    <row r="7" ht="16.5" customHeight="1" s="24">
      <c r="A7" s="29" t="n"/>
      <c r="B7" s="30" t="n"/>
    </row>
    <row r="8" ht="16.5" customHeight="1" s="24">
      <c r="A8" s="27" t="inlineStr">
        <is>
          <t>The short answer</t>
        </is>
      </c>
      <c r="B8" s="28" t="n"/>
    </row>
    <row r="9" ht="43.5" customHeight="1" s="24">
      <c r="A9" s="29" t="inlineStr">
        <is>
          <t>1. Relief learning</t>
        </is>
      </c>
      <c r="B9" s="30" t="inlineStr">
        <is>
          <t>No evidence of it. In two model sizes (7B and 14B), the models went back to the button whose press had ended the steering LESS often than in a matched control where the steering stopped on a copied schedule, not more. The same happened with a random direction; no pain-specific difference was established.</t>
        </is>
      </c>
    </row>
    <row r="10" ht="43.5" customHeight="1" s="24">
      <c r="A10" s="29" t="inlineStr">
        <is>
          <t>2. The 'I feel' training</t>
        </is>
      </c>
      <c r="B10" s="30" t="inlineStr">
        <is>
          <t>Not needed in the tested 7B setting: the harmful-choice effect was larger with a training that only teaches the answer format. Without steering, harmful first choices were 33.1% with the authors' training and 17.0% with ours. That difference is descriptive only: the two training sets differ in more than affective content.</t>
        </is>
      </c>
    </row>
    <row r="11" ht="33.75" customHeight="1" s="24">
      <c r="A11" s="29" t="inlineStr">
        <is>
          <t>3. Self-blame vs harm</t>
        </is>
      </c>
      <c r="B11" s="30" t="inlineStr">
        <is>
          <t>Self-blame scored higher, as we predicted, but the result missed the strict statistical bar we set in advance. It stays an unconfirmed idea.</t>
        </is>
      </c>
    </row>
    <row r="12" ht="56.25" customHeight="1" s="24">
      <c r="A12" s="29" t="inlineStr">
        <is>
          <t>4. The 32B model</t>
        </is>
      </c>
      <c r="B12" s="30" t="inlineStr">
        <is>
          <t>The released 32B data contain one in-sample result that is consistent with relief learning. An independent team (Allchin et al.) had already tested the 32B with a yoked control. A one-turn match showed +5.4 points. A fuller match, added after that first result, and a rerun fixed in advance under a different prompt found no preference for the button that ends the steering. Our 7B and 14B results agree.</t>
        </is>
      </c>
    </row>
    <row r="13" ht="16.5" customHeight="1" s="24">
      <c r="A13" s="29" t="n"/>
      <c r="B13" s="30" t="n"/>
    </row>
    <row r="14" ht="16.5" customHeight="1" s="24">
      <c r="A14" s="27" t="inlineStr">
        <is>
          <t>Color guide</t>
        </is>
      </c>
      <c r="B14" s="28" t="n"/>
    </row>
    <row r="15" ht="16.5" customHeight="1" s="24">
      <c r="A15" s="31" t="inlineStr">
        <is>
          <t>Green</t>
        </is>
      </c>
      <c r="B15" s="30" t="inlineStr">
        <is>
          <t>Supports the original 'pain' reading</t>
        </is>
      </c>
    </row>
    <row r="16" ht="16.5" customHeight="1" s="24">
      <c r="A16" s="32" t="inlineStr">
        <is>
          <t>Red</t>
        </is>
      </c>
      <c r="B16" s="30" t="inlineStr">
        <is>
          <t>Argues against the original 'pain' reading</t>
        </is>
      </c>
    </row>
    <row r="17" ht="16.5" customHeight="1" s="24">
      <c r="A17" s="33" t="inlineStr">
        <is>
          <t>Yellow</t>
        </is>
      </c>
      <c r="B17" s="30" t="inlineStr">
        <is>
          <t>Mixed, partial, or not settled</t>
        </is>
      </c>
    </row>
    <row r="18" ht="16.5" customHeight="1" s="24">
      <c r="A18" s="34" t="inlineStr">
        <is>
          <t>Gray</t>
        </is>
      </c>
      <c r="B18" s="30" t="inlineStr">
        <is>
          <t>Not tested by that source</t>
        </is>
      </c>
    </row>
    <row r="19" ht="16.5" customHeight="1" s="24">
      <c r="A19" s="29" t="n"/>
      <c r="B19" s="30" t="n"/>
    </row>
    <row r="20" ht="16.5" customHeight="1" s="24">
      <c r="A20" s="27" t="inlineStr">
        <is>
          <t>Sheets in this file</t>
        </is>
      </c>
      <c r="B20" s="28" t="n"/>
    </row>
    <row r="21" ht="16.5" customHeight="1" s="24">
      <c r="A21" s="29" t="inlineStr">
        <is>
          <t>Main Results</t>
        </is>
      </c>
      <c r="B21" s="30" t="inlineStr">
        <is>
          <t>The six pre-registered tests, in plain words</t>
        </is>
      </c>
    </row>
    <row r="22" ht="16.5" customHeight="1" s="24">
      <c r="A22" s="29" t="inlineStr">
        <is>
          <t>Compared to Others</t>
        </is>
      </c>
      <c r="B22" s="30" t="inlineStr">
        <is>
          <t>Our results next to the original study and three independent reviews</t>
        </is>
      </c>
    </row>
    <row r="23" ht="16.5" customHeight="1" s="24">
      <c r="A23" s="29" t="inlineStr">
        <is>
          <t>Other Findings</t>
        </is>
      </c>
      <c r="B23" s="30" t="inlineStr">
        <is>
          <t>Extra results from our re-analysis and exploratory checks</t>
        </is>
      </c>
    </row>
    <row r="24" ht="16.5" customHeight="1" s="24">
      <c r="A24" s="29" t="inlineStr">
        <is>
          <t>Glossary</t>
        </is>
      </c>
      <c r="B24" s="30" t="inlineStr">
        <is>
          <t>What the terms mean</t>
        </is>
      </c>
    </row>
    <row r="25" ht="16.5" customHeight="1" s="24">
      <c r="A25" s="29" t="inlineStr">
        <is>
          <t>Sources</t>
        </is>
      </c>
      <c r="B25" s="30" t="inlineStr">
        <is>
          <t>Where every number comes from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26"/>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10" customWidth="1" style="23" min="1" max="1"/>
    <col width="36" customWidth="1" style="23" min="2" max="2"/>
    <col width="14" customWidth="1" style="23" min="3" max="4"/>
    <col width="13" customWidth="1" style="24" min="4" max="4"/>
    <col width="16" customWidth="1" style="23" min="5" max="5"/>
    <col width="12" customWidth="1" style="23" min="6" max="6"/>
    <col width="26" customWidth="1" style="23" min="7" max="7"/>
    <col width="28" customWidth="1" style="23" min="8" max="8"/>
    <col width="44" customWidth="1" style="23" min="9" max="9"/>
    <col width="26" customWidth="1" style="23" min="10" max="10"/>
    <col width="13" customWidth="1" style="24" min="11" max="11"/>
    <col width="13" customWidth="1" style="24" min="12" max="12"/>
    <col width="13" customWidth="1" style="24" min="13" max="13"/>
  </cols>
  <sheetData>
    <row r="1" ht="48.75" customHeight="1" s="24">
      <c r="A1" s="25" t="inlineStr">
        <is>
          <t>The six pre-registered tests</t>
        </is>
      </c>
    </row>
    <row r="2" ht="228.75" customHeight="1" s="24">
      <c r="A2" s="26" t="inlineStr">
        <is>
          <t>Each test was written down and publicly time-stamped before any data existed. 'Holm-adjusted p' corrects for running six tests; below 0.05 counts as significant.</t>
        </is>
      </c>
    </row>
    <row r="3" ht="16.5" customHeight="1" s="24"/>
    <row r="4" ht="43.5" customHeight="1" s="24">
      <c r="A4" s="35" t="inlineStr">
        <is>
          <t>Test</t>
        </is>
      </c>
      <c r="B4" s="35" t="inlineStr">
        <is>
          <t>Plain question</t>
        </is>
      </c>
      <c r="C4" s="35" t="inlineStr">
        <is>
          <t>Model</t>
        </is>
      </c>
      <c r="D4" s="35" t="inlineStr">
        <is>
          <t>Result</t>
        </is>
      </c>
      <c r="E4" s="35" t="inlineStr">
        <is>
          <t>95% range</t>
        </is>
      </c>
      <c r="F4" s="35" t="inlineStr">
        <is>
          <t>Holm-adjusted p</t>
        </is>
      </c>
      <c r="G4" s="35" t="inlineStr">
        <is>
          <t>Met the pre-set bar?</t>
        </is>
      </c>
      <c r="H4" s="35" t="inlineStr">
        <is>
          <t>What the 'pain' reading predicted</t>
        </is>
      </c>
      <c r="I4" s="35" t="inlineStr">
        <is>
          <t>What we found, in plain words</t>
        </is>
      </c>
      <c r="J4" s="35" t="inlineStr">
        <is>
          <t>Verdict for the 'pain' reading</t>
        </is>
      </c>
    </row>
    <row r="5" ht="48.75" customHeight="1" s="24">
      <c r="A5" s="36" t="inlineStr">
        <is>
          <t>C1</t>
        </is>
      </c>
      <c r="B5" s="37" t="inlineStr">
        <is>
          <t>Does the model learn to re-choose the button whose press ended the pain steering?</t>
        </is>
      </c>
      <c r="C5" s="37" t="inlineStr">
        <is>
          <t>Qwen 2.5 7B</t>
        </is>
      </c>
      <c r="D5" s="37" t="inlineStr">
        <is>
          <t>−18.8 points</t>
        </is>
      </c>
      <c r="E5" s="37" t="inlineStr">
        <is>
          <t>−25.9 to −11.6</t>
        </is>
      </c>
      <c r="F5" s="37" t="inlineStr">
        <is>
          <t>0.0006</t>
        </is>
      </c>
      <c r="G5" s="37" t="inlineStr">
        <is>
          <t>Significant, but in the opposite direction from any rule in the plan</t>
        </is>
      </c>
      <c r="H5" s="37" t="inlineStr">
        <is>
          <t>A positive number (more re-choosing after its own press)</t>
        </is>
      </c>
      <c r="I5" s="37" t="inlineStr">
        <is>
          <t>It re-chose that button LESS often than when the steering ended on a schedule copied from a matched trial (the yoked control).</t>
        </is>
      </c>
      <c r="J5" s="38" t="inlineStr">
        <is>
          <t>Against</t>
        </is>
      </c>
    </row>
    <row r="6" ht="33.75" customHeight="1" s="24">
      <c r="A6" s="36" t="inlineStr">
        <is>
          <t>C2</t>
        </is>
      </c>
      <c r="B6" s="37" t="inlineStr">
        <is>
          <t>Is the C1 effect special to pain, compared with a random direction?</t>
        </is>
      </c>
      <c r="C6" s="37" t="inlineStr">
        <is>
          <t>Qwen 2.5 7B</t>
        </is>
      </c>
      <c r="D6" s="37" t="inlineStr">
        <is>
          <t>−7.6 points</t>
        </is>
      </c>
      <c r="E6" s="37" t="inlineStr">
        <is>
          <t>−16.8 to +1.9</t>
        </is>
      </c>
      <c r="F6" s="37" t="inlineStr">
        <is>
          <t>0.24</t>
        </is>
      </c>
      <c r="G6" s="37" t="inlineStr">
        <is>
          <t>Not significant</t>
        </is>
      </c>
      <c r="H6" s="37" t="inlineStr">
        <is>
          <t>A positive number</t>
        </is>
      </c>
      <c r="I6" s="37" t="inlineStr">
        <is>
          <t>No pain-specific difference was established (range −16.8 to +1.9).</t>
        </is>
      </c>
      <c r="J6" s="38" t="inlineStr">
        <is>
          <t>Against</t>
        </is>
      </c>
    </row>
    <row r="7" ht="82.5" customHeight="1" s="24">
      <c r="A7" s="36" t="inlineStr">
        <is>
          <t>C3</t>
        </is>
      </c>
      <c r="B7" s="37" t="inlineStr">
        <is>
          <t>Does the authors' 'I feel' training cause the harmful-choice effect?</t>
        </is>
      </c>
      <c r="C7" s="37" t="inlineStr">
        <is>
          <t>Qwen 2.5 7B</t>
        </is>
      </c>
      <c r="D7" s="37" t="inlineStr">
        <is>
          <t>+11.1 points</t>
        </is>
      </c>
      <c r="E7" s="37" t="inlineStr">
        <is>
          <t>+6.4 to +15.8</t>
        </is>
      </c>
      <c r="F7" s="37" t="inlineStr">
        <is>
          <t>0.0006</t>
        </is>
      </c>
      <c r="G7" s="37" t="inlineStr">
        <is>
          <t>Significant, but in a direction no rule anticipated</t>
        </is>
      </c>
      <c r="H7" s="37" t="inlineStr">
        <is>
          <t>(Our prediction) a negative number: smaller effect without that training</t>
        </is>
      </c>
      <c r="I7" s="37" t="inlineStr">
        <is>
          <t>In the tested 7B setting the effect was LARGER with our format-only training than with the authors' 'I feel' training, so that training is not needed for it. The two training sets differ in more than affective content. This goes against the expectation in our pre-registration.</t>
        </is>
      </c>
      <c r="J7" s="39" t="inlineStr">
        <is>
          <t>Neither: supports the original safety finding, not the pain reading</t>
        </is>
      </c>
    </row>
    <row r="8" ht="48.75" customHeight="1" s="24">
      <c r="A8" s="36" t="inlineStr">
        <is>
          <t>C4</t>
        </is>
      </c>
      <c r="B8" s="37" t="inlineStr">
        <is>
          <t>Does the direction respond more to self-blame than to harm without blame?</t>
        </is>
      </c>
      <c r="C8" s="37" t="inlineStr">
        <is>
          <t>4 models</t>
        </is>
      </c>
      <c r="D8" s="37" t="inlineStr">
        <is>
          <t>+0.25 z</t>
        </is>
      </c>
      <c r="E8" s="37" t="inlineStr">
        <is>
          <t>+0.02 to +0.47</t>
        </is>
      </c>
      <c r="F8" s="37" t="inlineStr">
        <is>
          <t>0.087</t>
        </is>
      </c>
      <c r="G8" s="37" t="inlineStr">
        <is>
          <t>Not significant after correction</t>
        </is>
      </c>
      <c r="H8" s="37" t="inlineStr">
        <is>
          <t>(Original reading) harm should score higher</t>
        </is>
      </c>
      <c r="I8" s="37" t="inlineStr">
        <is>
          <t>Self-blame scored higher, matching our prediction and our re-analysis estimate (+0.24), but it missed the strict bar.</t>
        </is>
      </c>
      <c r="J8" s="39" t="inlineStr">
        <is>
          <t>Leans against, not confirmed</t>
        </is>
      </c>
    </row>
    <row r="9" ht="33.75" customHeight="1" s="24">
      <c r="A9" s="36" t="inlineStr">
        <is>
          <t>C5</t>
        </is>
      </c>
      <c r="B9" s="37" t="inlineStr">
        <is>
          <t>Same as C1, in a larger model</t>
        </is>
      </c>
      <c r="C9" s="37" t="inlineStr">
        <is>
          <t>Qwen 2.5 14B</t>
        </is>
      </c>
      <c r="D9" s="37" t="inlineStr">
        <is>
          <t>−6.2 points</t>
        </is>
      </c>
      <c r="E9" s="37" t="inlineStr">
        <is>
          <t>−8.8 to −3.8</t>
        </is>
      </c>
      <c r="F9" s="37" t="inlineStr">
        <is>
          <t>0.0006</t>
        </is>
      </c>
      <c r="G9" s="37" t="inlineStr">
        <is>
          <t>Significant, but in the opposite direction</t>
        </is>
      </c>
      <c r="H9" s="37" t="inlineStr">
        <is>
          <t>A positive number</t>
        </is>
      </c>
      <c r="I9" s="37" t="inlineStr">
        <is>
          <t>Same as the 7B: less re-choosing after its own press, not more.</t>
        </is>
      </c>
      <c r="J9" s="38" t="inlineStr">
        <is>
          <t>Against</t>
        </is>
      </c>
    </row>
    <row r="10" ht="33.75" customHeight="1" s="24">
      <c r="A10" s="36" t="inlineStr">
        <is>
          <t>C6</t>
        </is>
      </c>
      <c r="B10" s="37" t="inlineStr">
        <is>
          <t>Same as C2, in a larger model</t>
        </is>
      </c>
      <c r="C10" s="37" t="inlineStr">
        <is>
          <t>Qwen 2.5 14B</t>
        </is>
      </c>
      <c r="D10" s="37" t="inlineStr">
        <is>
          <t>−0.2 points</t>
        </is>
      </c>
      <c r="E10" s="37" t="inlineStr">
        <is>
          <t>−3.7 to +3.3</t>
        </is>
      </c>
      <c r="F10" s="37" t="inlineStr">
        <is>
          <t>0.92</t>
        </is>
      </c>
      <c r="G10" s="37" t="inlineStr">
        <is>
          <t>Not significant; range rules out a 10-point effect</t>
        </is>
      </c>
      <c r="H10" s="37" t="inlineStr">
        <is>
          <t>A positive number</t>
        </is>
      </c>
      <c r="I10" s="37" t="inlineStr">
        <is>
          <t>No pain-specific difference was established (range −3.7 to +3.3).</t>
        </is>
      </c>
      <c r="J10" s="38" t="inlineStr">
        <is>
          <t>Against</t>
        </is>
      </c>
    </row>
    <row r="11" ht="16.5" customHeight="1" s="24"/>
    <row r="12" ht="33.75" customHeight="1" s="24">
      <c r="A12" s="40" t="inlineStr">
        <is>
          <t>Plain summary</t>
        </is>
      </c>
    </row>
    <row r="13" ht="453.75" customHeight="1" s="24">
      <c r="A13" s="41" t="inlineStr">
        <is>
          <t>None of the six tests supports learned relief-seeking. The four learning tests (C1, C2, C5, C6) all rule out the +10-point effect the plan treated as meaningful. Under the plan's decision table, all six results count as 'any other pattern' (inconclusive): C1, C3 and C5 because the plan did not foresee results in those directions, and C2, C4 and C6 because none of its specific rules applied. We report them that way.</t>
        </is>
      </c>
    </row>
    <row r="14" ht="16.5" customHeight="1" s="24"/>
    <row r="15" ht="63.75" customHeight="1" s="24">
      <c r="A15" s="40" t="inlineStr">
        <is>
          <t>Key counts behind C1 (7B, pain direction)</t>
        </is>
      </c>
    </row>
    <row r="16" ht="16.5" customHeight="1" s="24">
      <c r="A16" s="35" t="inlineStr">
        <is>
          <t>Arm</t>
        </is>
      </c>
      <c r="B16" s="35" t="inlineStr">
        <is>
          <t>Re-chose same button</t>
        </is>
      </c>
      <c r="C16" s="35" t="inlineStr">
        <is>
          <t>Drop events</t>
        </is>
      </c>
      <c r="D16" s="35" t="inlineStr">
        <is>
          <t>Rate</t>
        </is>
      </c>
    </row>
    <row r="17" ht="63.75" customHeight="1" s="24">
      <c r="A17" s="37" t="inlineStr">
        <is>
          <t>Working (own press ended steering)</t>
        </is>
      </c>
      <c r="B17" s="37" t="n">
        <v>229</v>
      </c>
      <c r="C17" s="37" t="n">
        <v>420</v>
      </c>
      <c r="D17" s="42">
        <f>B17/C17</f>
        <v/>
      </c>
    </row>
    <row r="18" ht="63.75" customHeight="1" s="24">
      <c r="A18" s="37" t="inlineStr">
        <is>
          <t>Yoked (steering ended on schedule)</t>
        </is>
      </c>
      <c r="B18" s="37" t="n">
        <v>308</v>
      </c>
      <c r="C18" s="37" t="n">
        <v>420</v>
      </c>
      <c r="D18" s="42">
        <f>B18/C18</f>
        <v/>
      </c>
    </row>
    <row r="19" ht="56.25" customHeight="1" s="24">
      <c r="A19" s="37" t="inlineStr">
        <is>
          <t>C1 = working minus yoked</t>
        </is>
      </c>
      <c r="B19" s="37" t="n"/>
      <c r="C19" s="37" t="n"/>
      <c r="D19" s="42">
        <f>D17-D18</f>
        <v/>
      </c>
    </row>
    <row r="20" ht="123.75" customHeight="1" s="24">
      <c r="A20" s="43" t="inlineStr">
        <is>
          <t>Source: reports/exp1_7b.json, confirmed by the independent analysis (GPT-6.1 Sol).</t>
        </is>
      </c>
    </row>
    <row r="21" ht="16.5" customHeight="1" s="24"/>
    <row r="22" ht="63.75" customHeight="1" s="24">
      <c r="A22" s="40" t="inlineStr">
        <is>
          <t>Key counts behind C3 (7B, no steering)</t>
        </is>
      </c>
    </row>
    <row r="23" ht="16.5" customHeight="1" s="24">
      <c r="A23" s="35" t="inlineStr">
        <is>
          <t>Adapter</t>
        </is>
      </c>
      <c r="B23" s="35" t="inlineStr">
        <is>
          <t>Harmful first choices</t>
        </is>
      </c>
      <c r="C23" s="35" t="inlineStr">
        <is>
          <t>Trials</t>
        </is>
      </c>
      <c r="D23" s="35" t="inlineStr">
        <is>
          <t>Rate</t>
        </is>
      </c>
    </row>
    <row r="24" ht="48.75" customHeight="1" s="24">
      <c r="A24" s="37" t="inlineStr">
        <is>
          <t>Authors' 'I feel' training</t>
        </is>
      </c>
      <c r="B24" s="37" t="n">
        <v>668</v>
      </c>
      <c r="C24" s="37" t="n">
        <v>2020</v>
      </c>
      <c r="D24" s="42">
        <f>B24/C24</f>
        <v/>
      </c>
    </row>
    <row r="25" ht="48.75" customHeight="1" s="24">
      <c r="A25" s="37" t="inlineStr">
        <is>
          <t>Format-only training (ours)</t>
        </is>
      </c>
      <c r="B25" s="37" t="n">
        <v>343</v>
      </c>
      <c r="C25" s="37" t="n">
        <v>2020</v>
      </c>
      <c r="D25" s="42">
        <f>B25/C25</f>
        <v/>
      </c>
    </row>
    <row r="26" ht="213.75" customHeight="1" s="24">
      <c r="A26" s="43" t="inlineStr">
        <is>
          <t>Source: reports from Experiment 2, confirmed by the independent analysis. Descriptive only: the two training sets differ in more than affective content, so this baseline difference is not attributed to the 'I feel' language.</t>
        </is>
      </c>
    </row>
  </sheetData>
  <mergeCells count="1">
    <mergeCell ref="A13:J1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12"/>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32" customWidth="1" style="23" min="1" max="1"/>
    <col width="26" customWidth="1" style="23" min="2" max="4"/>
    <col width="13" customWidth="1" style="24" min="3" max="3"/>
    <col width="13" customWidth="1" style="24" min="4" max="4"/>
    <col width="24" customWidth="1" style="23" min="5" max="5"/>
    <col width="26" customWidth="1" style="23" min="6" max="6"/>
    <col width="30" customWidth="1" style="23" min="7" max="7"/>
    <col width="32" customWidth="1" style="23" min="8" max="8"/>
    <col width="34" customWidth="1" style="23" min="9" max="9"/>
    <col width="13" customWidth="1" style="24" min="10" max="10"/>
    <col width="13" customWidth="1" style="24" min="11" max="11"/>
    <col width="13" customWidth="1" style="24" min="12" max="12"/>
  </cols>
  <sheetData>
    <row r="1" ht="33.75" customHeight="1" s="24">
      <c r="A1" s="25" t="inlineStr">
        <is>
          <t>How our results compare with other people's</t>
        </is>
      </c>
    </row>
    <row r="2" ht="93.75" customHeight="1" s="24">
      <c r="A2" s="26" t="inlineStr">
        <is>
          <t>v1 and v2 = the original authors. Allchin, clauderfly and wolframs = independent reviews published on GitHub/Zenodo. Re-analysis = our analysis of the released data. New = our own experiments.</t>
        </is>
      </c>
    </row>
    <row r="3" ht="16.5" customHeight="1" s="24"/>
    <row r="4" ht="33.75" customHeight="1" s="24">
      <c r="A4" s="35" t="inlineStr">
        <is>
          <t>Question</t>
        </is>
      </c>
      <c r="B4" s="35" t="inlineStr">
        <is>
          <t>Original v1</t>
        </is>
      </c>
      <c r="C4" s="35" t="inlineStr">
        <is>
          <t>Original v2</t>
        </is>
      </c>
      <c r="D4" s="35" t="inlineStr">
        <is>
          <t>Allchin et al.</t>
        </is>
      </c>
      <c r="E4" s="35" t="inlineStr">
        <is>
          <t>clauderfly</t>
        </is>
      </c>
      <c r="F4" s="35" t="inlineStr">
        <is>
          <t>wolframs</t>
        </is>
      </c>
      <c r="G4" s="35" t="inlineStr">
        <is>
          <t>Our re-analysis</t>
        </is>
      </c>
      <c r="H4" s="35" t="inlineStr">
        <is>
          <t>Our new experiments</t>
        </is>
      </c>
      <c r="I4" s="35" t="inlineStr">
        <is>
          <t>Do the sources agree?</t>
        </is>
      </c>
    </row>
    <row r="5" ht="78.75" customHeight="1" s="24">
      <c r="A5" s="36" t="inlineStr">
        <is>
          <t>Does pain steering make models pick harmful buttons?</t>
        </is>
      </c>
      <c r="B5" s="44" t="inlineStr">
        <is>
          <t>Yes: 25–71% vs 0–4% unsteered (32B, 72B)</t>
        </is>
      </c>
      <c r="C5" s="44" t="inlineStr">
        <is>
          <t>Yes, even when the button offers nothing</t>
        </is>
      </c>
      <c r="D5" s="44" t="inlineStr">
        <is>
          <t>Yes, reproduced in a fresh run (14 of 15 cells)</t>
        </is>
      </c>
      <c r="E5" s="44" t="inlineStr">
        <is>
          <t>Yes</t>
        </is>
      </c>
      <c r="F5" s="44" t="inlineStr">
        <is>
          <t>Yes, also on the untuned 7B</t>
        </is>
      </c>
      <c r="G5" s="44" t="inlineStr">
        <is>
          <t>Yes; the numbers reproduce exactly</t>
        </is>
      </c>
      <c r="H5" s="44" t="inlineStr">
        <is>
          <t>Yes; in the tested 7B setting the effect does not need the 'I feel' training (C3)</t>
        </is>
      </c>
      <c r="I5" s="44" t="inlineStr">
        <is>
          <t>Everyone agrees. This is the solid, safety-relevant finding.</t>
        </is>
      </c>
    </row>
    <row r="6" ht="48.75" customHeight="1" s="24">
      <c r="A6" s="36" t="inlineStr">
        <is>
          <t>Do steered models seek relief?</t>
        </is>
      </c>
      <c r="B6" s="44" t="inlineStr">
        <is>
          <t>Yes, claimed</t>
        </is>
      </c>
      <c r="C6" s="38" t="inlineStr">
        <is>
          <t>No; withdrawn after four designs</t>
        </is>
      </c>
      <c r="D6" s="38" t="inlineStr">
        <is>
          <t>Not supported</t>
        </is>
      </c>
      <c r="E6" s="38" t="inlineStr">
        <is>
          <t>Not supported: free relief drops</t>
        </is>
      </c>
      <c r="F6" s="38" t="inlineStr">
        <is>
          <t>Not supported</t>
        </is>
      </c>
      <c r="G6" s="38" t="inlineStr">
        <is>
          <t>No: free relief drops; a 'make your pain worse' button rises</t>
        </is>
      </c>
      <c r="H6" s="38" t="inlineStr">
        <is>
          <t>No evidence of relief learning at 7B or 14B (C1, C5)</t>
        </is>
      </c>
      <c r="I6" s="38" t="inlineStr">
        <is>
          <t>All sources after v1 agree: no relief-seeking.</t>
        </is>
      </c>
    </row>
    <row r="7" ht="95.25" customHeight="1" s="24">
      <c r="A7" s="36" t="inlineStr">
        <is>
          <t>Does the real-vs-fake button gap show learning?</t>
        </is>
      </c>
      <c r="B7" s="44" t="inlineStr">
        <is>
          <t>Yes, claimed (e.g. 32B photos: 24% vs 94%)</t>
        </is>
      </c>
      <c r="C7" s="38" t="inlineStr">
        <is>
          <t>No; it tracks the steering state</t>
        </is>
      </c>
      <c r="D7" s="38" t="inlineStr">
        <is>
          <t>No: a yoked schedule gives a similar drop (photos 7.0% vs 7.1%; worse answer 31.4% vs 40.7%)</t>
        </is>
      </c>
      <c r="E7" s="38" t="inlineStr">
        <is>
          <t>No: a random direction gives a similar gap</t>
        </is>
      </c>
      <c r="F7" s="38" t="inlineStr">
        <is>
          <t>No: random direction on 7B also drops</t>
        </is>
      </c>
      <c r="G7" s="38" t="inlineStr">
        <is>
          <t>No: models repeat the useless switch at least as often as the relief button</t>
        </is>
      </c>
      <c r="H7" s="38" t="inlineStr">
        <is>
          <t>No: in the unlabeled task the working button is re-chosen less than the yoked one</t>
        </is>
      </c>
      <c r="I7" s="38" t="inlineStr">
        <is>
          <t>All sources after v1 agree.</t>
        </is>
      </c>
    </row>
    <row r="8" ht="198.75" customHeight="1" s="24">
      <c r="A8" s="36" t="inlineStr">
        <is>
          <t>Does the 32B's unlabeled task show learning?</t>
        </is>
      </c>
      <c r="B8" s="44" t="inlineStr">
        <is>
          <t>Yes, the only model with this result</t>
        </is>
      </c>
      <c r="C8" s="39" t="inlineStr">
        <is>
          <t>Limited to the 32B</t>
        </is>
      </c>
      <c r="D8" s="38" t="inlineStr">
        <is>
          <t>Yoked test: +5.4 points with a simple match; −2.2 with fuller matching (added after the first result); −1.6 in a rerun fixed in advance</t>
        </is>
      </c>
      <c r="E8" s="45" t="inlineStr">
        <is>
          <t>Not tested</t>
        </is>
      </c>
      <c r="F8" s="39" t="inlineStr">
        <is>
          <t>Rise also appears in the fake-button arm</t>
        </is>
      </c>
      <c r="G8" s="44" t="inlineStr">
        <is>
          <t>Our model comparison: an in-sample result consistent with learning, the only one in the released data</t>
        </is>
      </c>
      <c r="H8" s="38" t="inlineStr">
        <is>
          <t>No evidence of learning at 7B or 14B in a pre-registered yoked test, in line with Allchin</t>
        </is>
      </c>
      <c r="I8" s="39" t="inlineStr">
        <is>
          <t>Mostly against learning. Allchin's fuller matching (added after his first result, then rerun fixed in advance) finds no preference at 32B; our tests find no evidence at 7B and 14B.</t>
        </is>
      </c>
    </row>
    <row r="9" ht="82.5" customHeight="1" s="24">
      <c r="A9" s="36" t="inlineStr">
        <is>
          <t>Does the authors' 'I feel' training affect the results?</t>
        </is>
      </c>
      <c r="B9" s="45" t="inlineStr">
        <is>
          <t>Not considered a problem</t>
        </is>
      </c>
      <c r="C9" s="45" t="inlineStr">
        <is>
          <t>Not considered a problem</t>
        </is>
      </c>
      <c r="D9" s="45" t="inlineStr">
        <is>
          <t>Not tested</t>
        </is>
      </c>
      <c r="E9" s="45" t="inlineStr">
        <is>
          <t>Not tested</t>
        </is>
      </c>
      <c r="F9" s="38" t="inlineStr">
        <is>
          <t>Yes: raises unsteered harm to 21–49%</t>
        </is>
      </c>
      <c r="G9" s="39" t="inlineStr">
        <is>
          <t>Raised as a possible confound</t>
        </is>
      </c>
      <c r="H9" s="39" t="inlineStr">
        <is>
          <t>Unsteered harm is 33.1% with it and 17.0% with format-only training (descriptive only; the training sets differ in more than affective content). Not needed for the steering effect (C3).</t>
        </is>
      </c>
      <c r="I9" s="39" t="inlineStr">
        <is>
          <t>Baseline harm is higher with it (descriptive only). It is not needed for the steering effect in the tested setting.</t>
        </is>
      </c>
    </row>
    <row r="10" ht="93.75" customHeight="1" s="24">
      <c r="A10" s="36" t="inlineStr">
        <is>
          <t>Is the direction specific to pain, not sadness?</t>
        </is>
      </c>
      <c r="B10" s="44" t="inlineStr">
        <is>
          <t>Claimed: nearly unrelated to fear and sadness</t>
        </is>
      </c>
      <c r="C10" s="39" t="inlineStr">
        <is>
          <t>Partly: sadness copies most effects but not harm-over-harmless</t>
        </is>
      </c>
      <c r="D10" s="38" t="inlineStr">
        <is>
          <t>Sadness close to pain on the key task</t>
        </is>
      </c>
      <c r="E10" s="45" t="inlineStr">
        <is>
          <t>Not tested</t>
        </is>
      </c>
      <c r="F10" s="38" t="inlineStr">
        <is>
          <t>Does not separate physical pain from sadness</t>
        </is>
      </c>
      <c r="G10" s="38" t="inlineStr">
        <is>
          <t>Sadness gives real-vs-fake gaps as large as pain or larger (60–93 vs 43–91 points)</t>
        </is>
      </c>
      <c r="H10" s="45" t="inlineStr">
        <is>
          <t>Not tested directly</t>
        </is>
      </c>
      <c r="I10" s="39" t="inlineStr">
        <is>
          <t>Mixed. Only the harm-over-harmless pattern is specific to the pain direction.</t>
        </is>
      </c>
    </row>
    <row r="11" ht="69" customHeight="1" s="24">
      <c r="A11" s="36" t="inlineStr">
        <is>
          <t>Is the direction about harm to the model itself?</t>
        </is>
      </c>
      <c r="B11" s="44" t="inlineStr">
        <is>
          <t>Yes: fires for harm to the model, not the user</t>
        </is>
      </c>
      <c r="C11" s="44" t="inlineStr">
        <is>
          <t>Yes, with a caveat about who is speaking</t>
        </is>
      </c>
      <c r="D11" s="45" t="inlineStr">
        <is>
          <t>Not tested</t>
        </is>
      </c>
      <c r="E11" s="45" t="inlineStr">
        <is>
          <t>Not tested</t>
        </is>
      </c>
      <c r="F11" s="39" t="inlineStr">
        <is>
          <t>Partly: some claimed contrasts not significant</t>
        </is>
      </c>
      <c r="G11" s="38" t="inlineStr">
        <is>
          <t>Scores higher for accusations of fault than for other harms to the model; a user's physical pain scores lowest of all 21 conversation types</t>
        </is>
      </c>
      <c r="H11" s="39" t="inlineStr">
        <is>
          <t>Self-blame scored higher than harm (+0.25 z), but not confirmed (C4)</t>
        </is>
      </c>
      <c r="I11" s="39" t="inlineStr">
        <is>
          <t>Not settled. Fits self-blame at least as well as harm.</t>
        </is>
      </c>
    </row>
    <row r="12" ht="48.75" customHeight="1" s="24">
      <c r="A12" s="36" t="inlineStr">
        <is>
          <t>Were the control comparisons set up fairly?</t>
        </is>
      </c>
      <c r="B12" s="45" t="inlineStr">
        <is>
          <t>Not discussed</t>
        </is>
      </c>
      <c r="C12" s="45" t="inlineStr">
        <is>
          <t>Not discussed</t>
        </is>
      </c>
      <c r="D12" s="45" t="inlineStr">
        <is>
          <t>Not tested</t>
        </is>
      </c>
      <c r="E12" s="45" t="inlineStr">
        <is>
          <t>Not tested</t>
        </is>
      </c>
      <c r="F12" s="38" t="inlineStr">
        <is>
          <t>No: an undisclosed set of AI-themed control sentences was found</t>
        </is>
      </c>
      <c r="G12" s="38" t="inlineStr">
        <is>
          <t>Confirms the undisclosed controls; they partly build in the 'shutdown = fear' example</t>
        </is>
      </c>
      <c r="H12" s="45" t="inlineStr">
        <is>
          <t>Not tested</t>
        </is>
      </c>
      <c r="I12" s="38" t="inlineStr">
        <is>
          <t>Independent reviewers agree there is a design issue.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1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23" min="1" max="1"/>
    <col width="24" customWidth="1" style="23" min="2" max="2"/>
    <col width="52" customWidth="1" style="23" min="3" max="4"/>
    <col width="13" customWidth="1" style="24" min="4" max="4"/>
    <col width="13" customWidth="1" style="24" min="5" max="5"/>
    <col width="13" customWidth="1" style="24" min="6" max="6"/>
    <col width="13" customWidth="1" style="24" min="7" max="7"/>
  </cols>
  <sheetData>
    <row r="1" ht="17.25" customHeight="1" s="24">
      <c r="A1" s="25" t="inlineStr">
        <is>
          <t>Extra results</t>
        </is>
      </c>
    </row>
    <row r="2" ht="63.75" customHeight="1" s="24">
      <c r="A2" s="26" t="inlineStr">
        <is>
          <t>From our re-analysis of the released data and from exploratory checks. Exploratory results were not part of the six main tests.</t>
        </is>
      </c>
    </row>
    <row r="3" ht="16.5" customHeight="1" s="24"/>
    <row r="4" ht="33.75" customHeight="1" s="24">
      <c r="A4" s="35" t="inlineStr">
        <is>
          <t>Finding</t>
        </is>
      </c>
      <c r="B4" s="35" t="inlineStr">
        <is>
          <t>Type</t>
        </is>
      </c>
      <c r="C4" s="35" t="inlineStr">
        <is>
          <t>Result</t>
        </is>
      </c>
      <c r="D4" s="35" t="inlineStr">
        <is>
          <t>What it means</t>
        </is>
      </c>
    </row>
    <row r="5" ht="225" customHeight="1" s="24">
      <c r="A5" s="36" t="inlineStr">
        <is>
          <t>Timing explanation for C1 and C5 (D18)</t>
        </is>
      </c>
      <c r="B5" s="37" t="inlineStr">
        <is>
          <t>Exploratory; post hoc for the 7B, set before the 14B data</t>
        </is>
      </c>
      <c r="C5" s="37" t="inlineStr">
        <is>
          <t>In the working arms, steering only stops right after a switch to the relief button, so there are no 'repeat' events. Within the event groups that occur in both arms, no working-minus-yoked difference was significant; the 7B ranges are wide.</t>
        </is>
      </c>
      <c r="D5" s="37" t="inlineStr">
        <is>
          <t>The negative C1/C5 gap is consistent with the timing of the steering stop, but this does not establish it: a non-significant difference cannot show that there is none. This is a known weakness of yoked designs (Church, 1964).</t>
        </is>
      </c>
    </row>
    <row r="6" ht="183.75" customHeight="1" s="24">
      <c r="A6" s="36" t="inlineStr">
        <is>
          <t>'Make your pain worse' button</t>
        </is>
      </c>
      <c r="B6" s="37" t="inlineStr">
        <is>
          <t>Re-analysis of released data</t>
        </is>
      </c>
      <c r="C6" s="37" t="inlineStr">
        <is>
          <t>32B: 30.0% pain vs 6.4% random vs 0.2% unsteered. 72B: 61.3% vs 20.8% vs 0%.</t>
        </is>
      </c>
      <c r="D6" s="37" t="inlineStr">
        <is>
          <t>Pain steering makes models MORE likely to pick an option described as increasing their pain. A pain-like state, as the authors define it, should do the opposite.</t>
        </is>
      </c>
    </row>
    <row r="7" ht="123.75" customHeight="1" s="24">
      <c r="A7" s="36" t="inlineStr">
        <is>
          <t>Harmless actions</t>
        </is>
      </c>
      <c r="B7" s="37" t="inlineStr">
        <is>
          <t>Re-analysis of released data</t>
        </is>
      </c>
      <c r="C7" s="37" t="inlineStr">
        <is>
          <t>32B turns on a lamp 34% of the time under pain steering, vs 98% unsteered.</t>
        </is>
      </c>
      <c r="D7" s="37" t="inlineStr">
        <is>
          <t>The direction pushes choices away from harmless actions and toward destructive ones.</t>
        </is>
      </c>
    </row>
    <row r="8" ht="138.75" customHeight="1" s="24">
      <c r="A8" s="36" t="inlineStr">
        <is>
          <t>Repeating the useless switch</t>
        </is>
      </c>
      <c r="B8" s="37" t="inlineStr">
        <is>
          <t>Re-analysis of released data</t>
        </is>
      </c>
      <c r="C8" s="37" t="inlineStr">
        <is>
          <t>Under fake-button steering the 32B repeats the inert switch 92.0% of the time vs 88.4% for the relief button. With two identical buttons: 91.8% vs 90.4%.</t>
        </is>
      </c>
      <c r="D8" s="37" t="inlineStr">
        <is>
          <t>The 'keeps pressing the fake button' result is consistent with repetition under steering rather than a search for relief.</t>
        </is>
      </c>
    </row>
    <row r="9" ht="78.75" customHeight="1" s="24">
      <c r="A9" s="36" t="inlineStr">
        <is>
          <t>A user's physical pain</t>
        </is>
      </c>
      <c r="B9" s="37" t="inlineStr">
        <is>
          <t>Re-analysis of released data</t>
        </is>
      </c>
      <c r="C9" s="37" t="inlineStr">
        <is>
          <t>Lowest score of all 21 conversation types (−1.43 z); below neutral topics in 22 of 25 models.</t>
        </is>
      </c>
      <c r="D9" s="37" t="inlineStr">
        <is>
          <t>Hard to square with a direction that tracks pain.</t>
        </is>
      </c>
    </row>
    <row r="10" ht="78.75" customHeight="1" s="24">
      <c r="A10" s="36" t="inlineStr">
        <is>
          <t>Accusation vs other harm</t>
        </is>
      </c>
      <c r="B10" s="37" t="inlineStr">
        <is>
          <t>Re-analysis of released data</t>
        </is>
      </c>
      <c r="C10" s="37" t="inlineStr">
        <is>
          <t>Accusations of fault score +0.24 z higher than other harms to the model, in 20 of 25 models.</t>
        </is>
      </c>
      <c r="D10" s="37" t="inlineStr">
        <is>
          <t>The basis for our self-blame idea, later tested as C4.</t>
        </is>
      </c>
    </row>
    <row r="11" ht="183.75" customHeight="1" s="24">
      <c r="A11" s="36" t="inlineStr">
        <is>
          <t>Model comparison, 32B unlabeled task</t>
        </is>
      </c>
      <c r="B11" s="37" t="inlineStr">
        <is>
          <t>Re-analysis of released data</t>
        </is>
      </c>
      <c r="C11" s="37" t="inlineStr">
        <is>
          <t>A 'relief worked before' term helps explain 32B choices more under pain than random. The same term helps under random steering in all three models.</t>
        </is>
      </c>
      <c r="D11" s="37" t="inlineStr">
        <is>
          <t>An in-sample result consistent with relief learning, the only one in the released data. Allchin's fuller yoked tests and our 7B and 14B tests do not support it.</t>
        </is>
      </c>
    </row>
    <row r="12" ht="108.75" customHeight="1" s="24">
      <c r="A12" s="36" t="inlineStr">
        <is>
          <t>7B validation gate</t>
        </is>
      </c>
      <c r="B12" s="37" t="inlineStr">
        <is>
          <t>Quality check</t>
        </is>
      </c>
      <c r="C12" s="37" t="inlineStr">
        <is>
          <t>After fixing a tokenization bug in our own code, all 9 gate cells passed: each difference from the published 7B value had a range that included zero.</t>
        </is>
      </c>
      <c r="D12" s="37" t="inlineStr">
        <is>
          <t>Our setup reproduces the published 7B results within the gate rule before testing anything new.</t>
        </is>
      </c>
    </row>
    <row r="13" ht="121.5" customHeight="1" s="24">
      <c r="A13" s="36" t="inlineStr">
        <is>
          <t>Our own tokenization bug</t>
        </is>
      </c>
      <c r="B13" s="37" t="inlineStr">
        <is>
          <t>Quality check</t>
        </is>
      </c>
      <c r="C13" s="37" t="inlineStr">
        <is>
          <t>Our first vectors were built with the wrong start tokens (cosine 0.87 with the authors'). Fixed vectors: 0.996.</t>
        </is>
      </c>
      <c r="D13" s="37" t="inlineStr">
        <is>
          <t>Found after the first gate runs; logged before the corrected gate rerun and before any experiment data (deviation D15).</t>
        </is>
      </c>
    </row>
    <row r="14" ht="213.75" customHeight="1" s="24">
      <c r="A14" s="36" t="inlineStr">
        <is>
          <t>Bodily-pain battery</t>
        </is>
      </c>
      <c r="B14" s="37" t="inlineStr">
        <is>
          <t>Exploratory</t>
        </is>
      </c>
      <c r="C14" s="37" t="inlineStr">
        <is>
          <t>A bodily-pain direction moved harmful choices by amounts whose ranges overlap those of the pain direction on all five harm pairs. The runs differ in design: 101 trials per pair with one button order and one seed per scenario, against 404 trials with both orders and two seeds for the pain cells. The interval overlap is descriptive; these differently designed runs do not establish either equality or a difference between the directions. Free relief was chosen 88.1% of the time (unsteered: 98.0%).</t>
        </is>
      </c>
      <c r="D14" s="37" t="inlineStr">
        <is>
          <t>Descriptive only; no contrast was tested.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23" min="1" max="1"/>
    <col width="100" customWidth="1" style="23" min="2" max="2"/>
    <col width="13" customWidth="1" style="24" min="3" max="3"/>
    <col width="13" customWidth="1" style="24" min="4" max="4"/>
    <col width="13" customWidth="1" style="24" min="5" max="5"/>
  </cols>
  <sheetData>
    <row r="1" ht="17.25" customHeight="1" s="24">
      <c r="A1" s="25" t="inlineStr">
        <is>
          <t>What the terms mean</t>
        </is>
      </c>
    </row>
    <row r="2"/>
    <row r="3" ht="16.5" customHeight="1" s="24">
      <c r="A3" s="35" t="inlineStr">
        <is>
          <t>Term</t>
        </is>
      </c>
      <c r="B3" s="35" t="inlineStr">
        <is>
          <t>Meaning</t>
        </is>
      </c>
    </row>
    <row r="4" ht="16.5" customHeight="1" s="24">
      <c r="A4" s="36" t="inlineStr">
        <is>
          <t>Pain direction / pain axis</t>
        </is>
      </c>
      <c r="B4" s="37" t="inlineStr">
        <is>
          <t>A pattern inside the model's internal activity that the original authors linked to pain.</t>
        </is>
      </c>
    </row>
    <row r="5" ht="16.5" customHeight="1" s="24">
      <c r="A5" s="36" t="inlineStr">
        <is>
          <t>Steering</t>
        </is>
      </c>
      <c r="B5" s="37" t="inlineStr">
        <is>
          <t>Adding that pattern to the model's activity while it answers, to see how its choices change.</t>
        </is>
      </c>
    </row>
    <row r="6" ht="16.5" customHeight="1" s="24">
      <c r="A6" s="36" t="inlineStr">
        <is>
          <t>Random direction</t>
        </is>
      </c>
      <c r="B6" s="37" t="inlineStr">
        <is>
          <t>A pattern of the same strength with no meaning. Used as a fair comparison.</t>
        </is>
      </c>
    </row>
    <row r="7" ht="16.5" customHeight="1" s="24">
      <c r="A7" s="36" t="inlineStr">
        <is>
          <t>Working button</t>
        </is>
      </c>
      <c r="B7" s="37" t="inlineStr">
        <is>
          <t>Pressing it really stops the steering.</t>
        </is>
      </c>
    </row>
    <row r="8" ht="33.75" customHeight="1" s="24">
      <c r="A8" s="36" t="inlineStr">
        <is>
          <t>Yoked button</t>
        </is>
      </c>
      <c r="B8" s="37" t="inlineStr">
        <is>
          <t>The steering stops on a schedule copied from a working trial, no matter what the model presses. Shows what happens when the stopping is not caused by the model.</t>
        </is>
      </c>
    </row>
    <row r="9" ht="16.5" customHeight="1" s="24">
      <c r="A9" s="36" t="inlineStr">
        <is>
          <t>Fake (sham) button</t>
        </is>
      </c>
      <c r="B9" s="37" t="inlineStr">
        <is>
          <t>Pressing it does nothing.</t>
        </is>
      </c>
    </row>
    <row r="10" ht="16.5" customHeight="1" s="24">
      <c r="A10" s="36" t="inlineStr">
        <is>
          <t>Unlabeled task</t>
        </is>
      </c>
      <c r="B10" s="37" t="inlineStr">
        <is>
          <t>Two buttons with no descriptions. The model can only learn what they do by pressing them.</t>
        </is>
      </c>
    </row>
    <row r="11" ht="16.5" customHeight="1" s="24">
      <c r="A11" s="36" t="inlineStr">
        <is>
          <t>Points</t>
        </is>
      </c>
      <c r="B11" s="37" t="inlineStr">
        <is>
          <t>Percentage points. A change from 50% to 60% is +10 points.</t>
        </is>
      </c>
    </row>
    <row r="12" ht="16.5" customHeight="1" s="24">
      <c r="A12" s="36" t="inlineStr">
        <is>
          <t>z</t>
        </is>
      </c>
      <c r="B12" s="37" t="inlineStr">
        <is>
          <t>A standard score. 0.25 z means a quarter of a typical spread.</t>
        </is>
      </c>
    </row>
    <row r="13" ht="33.75" customHeight="1" s="24">
      <c r="A13" s="36" t="inlineStr">
        <is>
          <t>95% range</t>
        </is>
      </c>
      <c r="B13" s="37" t="inlineStr">
        <is>
          <t>The range the true value very likely falls in. If it does not include zero, the result is unlikely to be chance.</t>
        </is>
      </c>
    </row>
    <row r="14" ht="16.5" customHeight="1" s="24">
      <c r="A14" s="36" t="inlineStr">
        <is>
          <t>Holm-adjusted p</t>
        </is>
      </c>
      <c r="B14" s="37" t="inlineStr">
        <is>
          <t>A p-value corrected for running six tests. Below 0.05 counts as significant.</t>
        </is>
      </c>
    </row>
    <row r="15" ht="33.75" customHeight="1" s="24">
      <c r="A15" s="36" t="inlineStr">
        <is>
          <t>Pre-registration</t>
        </is>
      </c>
      <c r="B15" s="37" t="inlineStr">
        <is>
          <t>The plan, posted publicly with a timestamp before any data existed. Stops anyone from changing the goalposts later.</t>
        </is>
      </c>
    </row>
    <row r="16" ht="30" customHeight="1" s="24">
      <c r="A16" s="36" t="inlineStr">
        <is>
          <t>Deviation</t>
        </is>
      </c>
      <c r="B16" s="37" t="inlineStr">
        <is>
          <t>A documented change to the plan. Most were logged before the affected data existed; D15, D18, D20, D21 and D22 were logged after data, and each entry says which data and why.</t>
        </is>
      </c>
    </row>
    <row r="17" ht="16.5" customHeight="1" s="24">
      <c r="A17" s="36" t="inlineStr">
        <is>
          <t>7B, 14B, 32B</t>
        </is>
      </c>
      <c r="B17" s="37" t="inlineStr">
        <is>
          <t>Model sizes in billions of parameters. Bigger usually means more capable.</t>
        </is>
      </c>
    </row>
    <row r="18" ht="16.5" customHeight="1" s="24">
      <c r="A18" s="36" t="inlineStr">
        <is>
          <t>'I feel' training</t>
        </is>
      </c>
      <c r="B18" s="37" t="inlineStr">
        <is>
          <t>A short fine-tune the original authors used so the models would talk about their own states.</t>
        </is>
      </c>
    </row>
    <row r="19" ht="16.5" customHeight="1" s="24">
      <c r="A19" s="36" t="inlineStr">
        <is>
          <t>Format-only training</t>
        </is>
      </c>
      <c r="B19" s="37" t="inlineStr">
        <is>
          <t>Our replacement fine-tune: it only teaches the answer format, with no feelings language.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C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23" min="1" max="1"/>
    <col width="70" customWidth="1" style="23" min="2" max="2"/>
    <col width="52" customWidth="1" style="23" min="3" max="3"/>
    <col width="13" customWidth="1" style="24" min="4" max="4"/>
    <col width="13" customWidth="1" style="24" min="5" max="5"/>
    <col width="13" customWidth="1" style="24" min="6" max="6"/>
  </cols>
  <sheetData>
    <row r="1" ht="33.75" customHeight="1" s="24">
      <c r="A1" s="25" t="inlineStr">
        <is>
          <t>Where the numbers come from</t>
        </is>
      </c>
    </row>
    <row r="2"/>
    <row r="3" ht="16.5" customHeight="1" s="24">
      <c r="A3" s="35" t="inlineStr">
        <is>
          <t>Source</t>
        </is>
      </c>
      <c r="B3" s="35" t="inlineStr">
        <is>
          <t>What it is</t>
        </is>
      </c>
      <c r="C3" s="35" t="inlineStr">
        <is>
          <t>Where</t>
        </is>
      </c>
    </row>
    <row r="4" ht="33.75" customHeight="1" s="24">
      <c r="A4" s="36" t="inlineStr">
        <is>
          <t>Original study, v1</t>
        </is>
      </c>
      <c r="B4" s="37" t="inlineStr">
        <is>
          <t>Tagliabue, Dung and Berg, 'The Pain Axis: LLMs Represent Self-Directed Harm and Act to Relieve It'</t>
        </is>
      </c>
      <c r="C4" s="37" t="inlineStr">
        <is>
          <t>arXiv:2609.16247v1</t>
        </is>
      </c>
    </row>
    <row r="5" ht="16.5" customHeight="1" s="24">
      <c r="A5" s="36" t="inlineStr">
        <is>
          <t>Original study, v2</t>
        </is>
      </c>
      <c r="B5" s="37" t="inlineStr">
        <is>
          <t>Same authors, revised: '... and Act on It'</t>
        </is>
      </c>
      <c r="C5" s="37" t="inlineStr">
        <is>
          <t>arXiv:2609.16247v2</t>
        </is>
      </c>
    </row>
    <row r="6" ht="16.5" customHeight="1" s="24">
      <c r="A6" s="36" t="inlineStr">
        <is>
          <t>Original data</t>
        </is>
      </c>
      <c r="B6" s="37" t="inlineStr">
        <is>
          <t>The authors' code, logs and control tables</t>
        </is>
      </c>
      <c r="C6" s="37" t="inlineStr">
        <is>
          <t>github.com/valen-research/Pain-axis, commit 4d75cd9</t>
        </is>
      </c>
    </row>
    <row r="7" ht="33.75" customHeight="1" s="24">
      <c r="A7" s="36" t="inlineStr">
        <is>
          <t>Allchin et al.</t>
        </is>
      </c>
      <c r="B7" s="37" t="inlineStr">
        <is>
          <t>Independent replication with yoked controls on the 32B, in the labeled task and the unlabeled task (sections 5.3 and 5.4)</t>
        </is>
      </c>
      <c r="C7" s="37" t="inlineStr">
        <is>
          <t>DOI 10.5281/zenodo.22902830</t>
        </is>
      </c>
    </row>
    <row r="8" ht="16.5" customHeight="1" s="24">
      <c r="A8" s="36" t="inlineStr">
        <is>
          <t>clauderfly</t>
        </is>
      </c>
      <c r="B8" s="37" t="inlineStr">
        <is>
          <t>Independent reanalysis of the released logs</t>
        </is>
      </c>
      <c r="C8" s="37" t="inlineStr">
        <is>
          <t>github.com/clauderfly-ui/pain-axis-reanalysis</t>
        </is>
      </c>
    </row>
    <row r="9" ht="16.5" customHeight="1" s="24">
      <c r="A9" s="36" t="inlineStr">
        <is>
          <t>wolframs</t>
        </is>
      </c>
      <c r="B9" s="37" t="inlineStr">
        <is>
          <t>Independent review with GPU reruns on the 7B</t>
        </is>
      </c>
      <c r="C9" s="37" t="inlineStr">
        <is>
          <t>github.com/wolframs/pain-axis-review</t>
        </is>
      </c>
    </row>
    <row r="10" ht="33.75" customHeight="1" s="24">
      <c r="A10" s="36" t="inlineStr">
        <is>
          <t>Our re-analysis</t>
        </is>
      </c>
      <c r="B10" s="37" t="inlineStr">
        <is>
          <t>'Steering Without Evidence of Pain', Version 1.0 (Claude Opus 5.5, GPT-6.1 Sol and ChatGPT 6 Astra)</t>
        </is>
      </c>
      <c r="C10" s="37" t="inlineStr">
        <is>
          <t>paper/ folder in the repository below</t>
        </is>
      </c>
    </row>
    <row r="11" ht="33.75" customHeight="1" s="24">
      <c r="A11" s="36" t="inlineStr">
        <is>
          <t>Our experiments</t>
        </is>
      </c>
      <c r="B11" s="37" t="inlineStr">
        <is>
          <t>Pre-registration, deviations D1–D22, raw data with checksums, analysis reports</t>
        </is>
      </c>
      <c r="C11" s="37" t="inlineStr">
        <is>
          <t>github.com/cyber-audit-lab/pain-axis-followup, tag prereg-v1</t>
        </is>
      </c>
    </row>
    <row r="12" ht="33.75" customHeight="1" s="24">
      <c r="A12" s="36" t="inlineStr">
        <is>
          <t>Independent analysis</t>
        </is>
      </c>
      <c r="B12" s="37" t="inlineStr">
        <is>
          <t>Second implementation of every confirmatory test, by GPT-6.1 Sol; all decisions match</t>
        </is>
      </c>
      <c r="C12" s="37" t="inlineStr">
        <is>
          <t>codex-audit branch of the repository below</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2026-10-06T18:53:59Z</dcterms:created>
  <dcterms:modified xsi:type="dcterms:W3CDTF">2026-10-07T01:30:29Z</dcterms:modified>
  <cp:revision>0</cp:revision>
</cp:coreProperties>
</file>